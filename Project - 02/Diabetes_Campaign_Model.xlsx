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mes\PROJECT 2\Diabetes_Awareness_Campaign_ROI_Project\"/>
    </mc:Choice>
  </mc:AlternateContent>
  <xr:revisionPtr revIDLastSave="0" documentId="13_ncr:1_{451299DB-0EAF-45D2-8461-1C0B737D629F}" xr6:coauthVersionLast="47" xr6:coauthVersionMax="47" xr10:uidLastSave="{00000000-0000-0000-0000-000000000000}"/>
  <bookViews>
    <workbookView xWindow="-120" yWindow="-120" windowWidth="20730" windowHeight="11160" tabRatio="500" firstSheet="1" activeTab="4" xr2:uid="{00000000-000D-0000-FFFF-FFFF00000000}"/>
  </bookViews>
  <sheets>
    <sheet name="Campaign_Data" sheetId="1" r:id="rId1"/>
    <sheet name="Campaign_Summary" sheetId="2" r:id="rId2"/>
    <sheet name="Revenue_Model" sheetId="3" r:id="rId3"/>
    <sheet name="ROI_Model" sheetId="4" r:id="rId4"/>
    <sheet name="Dashboa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" i="5" l="1"/>
  <c r="S3" i="5"/>
  <c r="S4" i="5"/>
  <c r="S5" i="5"/>
  <c r="S8" i="5"/>
  <c r="S9" i="5"/>
  <c r="S10" i="5"/>
  <c r="C4" i="3"/>
  <c r="C7" i="2"/>
  <c r="C6" i="2"/>
  <c r="C5" i="2"/>
  <c r="C4" i="2"/>
  <c r="C3" i="2"/>
  <c r="F23" i="1"/>
  <c r="E23" i="1"/>
  <c r="D23" i="1"/>
  <c r="C23" i="1"/>
  <c r="B23" i="1"/>
  <c r="C8" i="4" l="1"/>
  <c r="C3" i="4"/>
  <c r="I3" i="5"/>
  <c r="C13" i="2"/>
  <c r="G3" i="5"/>
  <c r="C5" i="3"/>
  <c r="C6" i="3" s="1"/>
  <c r="C12" i="2"/>
  <c r="E3" i="5"/>
  <c r="C11" i="2"/>
  <c r="C10" i="2"/>
  <c r="C3" i="5"/>
  <c r="A3" i="5"/>
  <c r="C4" i="4" l="1"/>
  <c r="C5" i="4" s="1"/>
  <c r="C7" i="3"/>
  <c r="K3" i="5"/>
  <c r="C6" i="4"/>
  <c r="C7" i="4"/>
  <c r="M3" i="5" l="1"/>
  <c r="A11" i="4"/>
</calcChain>
</file>

<file path=xl/sharedStrings.xml><?xml version="1.0" encoding="utf-8"?>
<sst xmlns="http://schemas.openxmlformats.org/spreadsheetml/2006/main" count="102" uniqueCount="84">
  <si>
    <t>🏥  Diabetes Awareness Campaign — City-wise Dataset</t>
  </si>
  <si>
    <t>City</t>
  </si>
  <si>
    <t>People Reached</t>
  </si>
  <si>
    <t>People Screened</t>
  </si>
  <si>
    <t>Diabetes Diagnosed</t>
  </si>
  <si>
    <t>Patients Treated</t>
  </si>
  <si>
    <t>Campaign Cost (₹)</t>
  </si>
  <si>
    <t>Delhi</t>
  </si>
  <si>
    <t>Mumbai</t>
  </si>
  <si>
    <t>Bangalore</t>
  </si>
  <si>
    <t>Chennai</t>
  </si>
  <si>
    <t>Hyderabad</t>
  </si>
  <si>
    <t>Pune</t>
  </si>
  <si>
    <t>Ahmedabad</t>
  </si>
  <si>
    <t>Kolkata</t>
  </si>
  <si>
    <t>Lucknow</t>
  </si>
  <si>
    <t>Jaipur</t>
  </si>
  <si>
    <t>Chandigarh</t>
  </si>
  <si>
    <t>Indore</t>
  </si>
  <si>
    <t>Nagpur</t>
  </si>
  <si>
    <t>Bhopal</t>
  </si>
  <si>
    <t>Kochi</t>
  </si>
  <si>
    <t>Coimbatore</t>
  </si>
  <si>
    <t>Surat</t>
  </si>
  <si>
    <t>Patna</t>
  </si>
  <si>
    <t>Bhubaneswar</t>
  </si>
  <si>
    <t>Guwahati</t>
  </si>
  <si>
    <t>TOTAL</t>
  </si>
  <si>
    <t>📊  Campaign Summary — Key Metrics</t>
  </si>
  <si>
    <t>Metric</t>
  </si>
  <si>
    <t>Formula Used</t>
  </si>
  <si>
    <t>Value</t>
  </si>
  <si>
    <t>Total People Reached</t>
  </si>
  <si>
    <t>SUM(People Reached — all cities)</t>
  </si>
  <si>
    <t>Total People Screened</t>
  </si>
  <si>
    <t>SUM(People Screened — all cities)</t>
  </si>
  <si>
    <t>Total Diagnosed</t>
  </si>
  <si>
    <t>SUM(Diabetes Diagnosed — all cities)</t>
  </si>
  <si>
    <t>Total Patients Treated</t>
  </si>
  <si>
    <t>SUM(Patients Treated — all cities)</t>
  </si>
  <si>
    <t>Total Campaign Cost</t>
  </si>
  <si>
    <t>SUM(Campaign Cost — all cities)</t>
  </si>
  <si>
    <t>--- Derived KPIs ---</t>
  </si>
  <si>
    <t>Screening Rate</t>
  </si>
  <si>
    <t>Derived from summary</t>
  </si>
  <si>
    <t>Diagnosis Rate (screened)</t>
  </si>
  <si>
    <t>Treatment Rate (diagnosed)</t>
  </si>
  <si>
    <t>Overall Conversion Rate</t>
  </si>
  <si>
    <t>💰  Revenue Model — Diabetes Medicine</t>
  </si>
  <si>
    <t>Details / Formula</t>
  </si>
  <si>
    <t>Avg Monthly Medicine Cost</t>
  </si>
  <si>
    <t>Assumption (hardcoded input)</t>
  </si>
  <si>
    <t>Annual Revenue / Patient</t>
  </si>
  <si>
    <t>Annual Revenue Per Patient = Monthly Cost x 12</t>
  </si>
  <si>
    <t>Linked from Campaign_Summary</t>
  </si>
  <si>
    <t>Total Annual Revenue</t>
  </si>
  <si>
    <t>Annual Rev/Patient × Patients</t>
  </si>
  <si>
    <t>Revenue (₹ Crore)</t>
  </si>
  <si>
    <t>Total Revenue / 1,00,00,000</t>
  </si>
  <si>
    <t>Source: Avg diabetes medicine cost — IMS Health / NPPA drug pricing, 2024 estimates</t>
  </si>
  <si>
    <t>📈  ROI Model — Campaign Return on Investment</t>
  </si>
  <si>
    <t>Source / Formula</t>
  </si>
  <si>
    <t>Total Revenue Generated</t>
  </si>
  <si>
    <t>Linked from Revenue_Model</t>
  </si>
  <si>
    <t>Profit / (Loss)</t>
  </si>
  <si>
    <t>Revenue − Cost</t>
  </si>
  <si>
    <t>ROI %</t>
  </si>
  <si>
    <t>(Profit / Cost) × 100</t>
  </si>
  <si>
    <t>Revenue-to-Cost Ratio</t>
  </si>
  <si>
    <t>Revenue ÷ Cost</t>
  </si>
  <si>
    <t>Break-Even Patients</t>
  </si>
  <si>
    <t>Cost ÷ Annual Rev/Patient</t>
  </si>
  <si>
    <t>ROI Interpretation:</t>
  </si>
  <si>
    <t>🏥  Diabetes Campaign — Executive Dashboard</t>
  </si>
  <si>
    <t>Stage</t>
  </si>
  <si>
    <t>Count</t>
  </si>
  <si>
    <t>Total Reached</t>
  </si>
  <si>
    <t>Total Screened</t>
  </si>
  <si>
    <t>Diagnosed</t>
  </si>
  <si>
    <t>Treated</t>
  </si>
  <si>
    <t>Campaign Cost</t>
  </si>
  <si>
    <t>Total Revenue</t>
  </si>
  <si>
    <t>Amount (₹)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</si>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</sst>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0.00&quot; Cr&quot;"/>
    <numFmt numFmtId="167" formatCode="0.00\x"/>
  </numFmts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1F4E79"/>
      <name val="Arial"/>
      <family val="2"/>
    </font>
    <font>
      <sz val="10"/>
      <color rgb="FF000000"/>
      <name val="Arial"/>
      <family val="2"/>
    </font>
    <font>
      <b/>
      <sz val="10"/>
      <color rgb="FF1F4E79"/>
      <name val="Arial"/>
      <family val="2"/>
    </font>
    <font>
      <b/>
      <sz val="10"/>
      <color rgb="FF000000"/>
      <name val="Arial"/>
      <family val="2"/>
    </font>
    <font>
      <b/>
      <sz val="10"/>
      <color rgb="FF006400"/>
      <name val="Arial"/>
      <family val="2"/>
    </font>
    <font>
      <b/>
      <sz val="10"/>
      <color rgb="FF1A472A"/>
      <name val="Arial"/>
      <family val="2"/>
    </font>
    <font>
      <b/>
      <sz val="10"/>
      <color rgb="FF0000FF"/>
      <name val="Arial"/>
      <family val="2"/>
    </font>
    <font>
      <i/>
      <sz val="9"/>
      <color rgb="FF666666"/>
      <name val="Arial"/>
      <family val="2"/>
    </font>
    <font>
      <b/>
      <sz val="10"/>
      <color rgb="FF6B1A1A"/>
      <name val="Arial"/>
      <family val="2"/>
    </font>
    <font>
      <b/>
      <sz val="16"/>
      <color rgb="FFFFFFFF"/>
      <name val="Arial"/>
      <family val="2"/>
    </font>
    <font>
      <b/>
      <sz val="11"/>
      <name val="Cambria"/>
      <family val="1"/>
    </font>
    <font>
      <b/>
      <sz val="9"/>
      <color rgb="FFFFFFFF"/>
      <name val="Arial"/>
      <family val="2"/>
    </font>
    <font>
      <b/>
      <sz val="14"/>
      <color rgb="FF1F4E79"/>
      <name val="Arial"/>
      <family val="2"/>
    </font>
    <font>
      <b/>
      <sz val="14"/>
      <color rgb="FF2E75B6"/>
      <name val="Arial"/>
      <family val="2"/>
    </font>
    <font>
      <b/>
      <sz val="14"/>
      <color rgb="FF1A472A"/>
      <name val="Arial"/>
      <family val="2"/>
    </font>
    <font>
      <b/>
      <sz val="14"/>
      <color rgb="FF2E7D32"/>
      <name val="Arial"/>
      <family val="2"/>
    </font>
    <font>
      <b/>
      <sz val="14"/>
      <color rgb="FF6B1A1A"/>
      <name val="Arial"/>
      <family val="2"/>
    </font>
    <font>
      <b/>
      <sz val="14"/>
      <color rgb="FFC0392B"/>
      <name val="Arial"/>
      <family val="2"/>
    </font>
    <font>
      <b/>
      <sz val="14"/>
      <color rgb="FF7B2D8B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D3B66"/>
        <bgColor rgb="FF1F4E79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5F5F5"/>
      </patternFill>
    </fill>
    <fill>
      <patternFill patternType="solid">
        <fgColor rgb="FFBDD7EE"/>
        <bgColor rgb="FFD9D9D9"/>
      </patternFill>
    </fill>
    <fill>
      <patternFill patternType="solid">
        <fgColor rgb="FF1A472A"/>
        <bgColor rgb="FF0D3B66"/>
      </patternFill>
    </fill>
    <fill>
      <patternFill patternType="solid">
        <fgColor rgb="FF2E7D32"/>
        <bgColor rgb="FF006400"/>
      </patternFill>
    </fill>
    <fill>
      <patternFill patternType="solid">
        <fgColor rgb="FF6B1A1A"/>
        <bgColor rgb="FF800000"/>
      </patternFill>
    </fill>
    <fill>
      <patternFill patternType="solid">
        <fgColor rgb="FFC0392B"/>
        <bgColor rgb="FF993366"/>
      </patternFill>
    </fill>
    <fill>
      <patternFill patternType="solid">
        <fgColor rgb="FF1F4E79"/>
        <bgColor rgb="FF0D3B66"/>
      </patternFill>
    </fill>
    <fill>
      <patternFill patternType="solid">
        <fgColor rgb="FF7B2D8B"/>
        <bgColor rgb="FF993366"/>
      </patternFill>
    </fill>
    <fill>
      <patternFill patternType="solid">
        <fgColor rgb="FFF5F5F5"/>
        <bgColor rgb="FFF9F9F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4" fillId="13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10" fillId="0" borderId="0" xfId="0" applyFont="1"/>
    <xf numFmtId="0" fontId="1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7" fillId="5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/>
    </xf>
    <xf numFmtId="165" fontId="7" fillId="5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/>
    </xf>
    <xf numFmtId="165" fontId="7" fillId="4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0" fontId="6" fillId="5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13" fillId="0" borderId="0" xfId="0" applyFont="1"/>
    <xf numFmtId="3" fontId="0" fillId="0" borderId="0" xfId="0" applyNumberFormat="1"/>
    <xf numFmtId="164" fontId="0" fillId="0" borderId="0" xfId="0" applyNumberFormat="1"/>
    <xf numFmtId="3" fontId="15" fillId="14" borderId="3" xfId="0" applyNumberFormat="1" applyFont="1" applyFill="1" applyBorder="1" applyAlignment="1">
      <alignment horizontal="center" vertical="center"/>
    </xf>
    <xf numFmtId="3" fontId="16" fillId="14" borderId="3" xfId="0" applyNumberFormat="1" applyFont="1" applyFill="1" applyBorder="1" applyAlignment="1">
      <alignment horizontal="center" vertical="center"/>
    </xf>
    <xf numFmtId="3" fontId="17" fillId="14" borderId="3" xfId="0" applyNumberFormat="1" applyFont="1" applyFill="1" applyBorder="1" applyAlignment="1">
      <alignment horizontal="center" vertical="center"/>
    </xf>
    <xf numFmtId="3" fontId="18" fillId="14" borderId="3" xfId="0" applyNumberFormat="1" applyFont="1" applyFill="1" applyBorder="1" applyAlignment="1">
      <alignment horizontal="center" vertical="center"/>
    </xf>
    <xf numFmtId="164" fontId="19" fillId="14" borderId="3" xfId="0" applyNumberFormat="1" applyFont="1" applyFill="1" applyBorder="1" applyAlignment="1">
      <alignment horizontal="center" vertical="center"/>
    </xf>
    <xf numFmtId="164" fontId="20" fillId="14" borderId="3" xfId="0" applyNumberFormat="1" applyFont="1" applyFill="1" applyBorder="1" applyAlignment="1">
      <alignment horizontal="center" vertical="center"/>
    </xf>
    <xf numFmtId="10" fontId="21" fillId="1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1A1A"/>
      <rgbColor rgb="FF006400"/>
      <rgbColor rgb="FF000080"/>
      <rgbColor rgb="FF808000"/>
      <rgbColor rgb="FF800080"/>
      <rgbColor rgb="FF2E7D32"/>
      <rgbColor rgb="FFBFBFBF"/>
      <rgbColor rgb="FF878787"/>
      <rgbColor rgb="FF9999FF"/>
      <rgbColor rgb="FF7B2D8B"/>
      <rgbColor rgb="FFFFF2CC"/>
      <rgbColor rgb="FFD6E4F0"/>
      <rgbColor rgb="FF660066"/>
      <rgbColor rgb="FFFF8080"/>
      <rgbColor rgb="FF2196F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5F5F5"/>
      <rgbColor rgb="FFF9F9F9"/>
      <rgbColor rgb="FFFFFF99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FF9800"/>
      <rgbColor rgb="FFFF6600"/>
      <rgbColor rgb="FF666666"/>
      <rgbColor rgb="FF4F81BD"/>
      <rgbColor rgb="FF0D3B66"/>
      <rgbColor rgb="FF4CAF50"/>
      <rgbColor rgb="FF003300"/>
      <rgbColor rgb="FF333300"/>
      <rgbColor rgb="FFC0392B"/>
      <rgbColor rgb="FF993366"/>
      <rgbColor rgb="FF1F4E79"/>
      <rgbColor rgb="FF1A47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City-wise People Reached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Campaign_Data!$B$2</c:f>
              <c:strCache>
                <c:ptCount val="1"/>
                <c:pt idx="0">
                  <c:v>People Reached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Campaign_Data!$A$3:$A$22</c:f>
              <c:strCache>
                <c:ptCount val="20"/>
                <c:pt idx="0">
                  <c:v>Delhi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Hyderabad</c:v>
                </c:pt>
                <c:pt idx="5">
                  <c:v>Pune</c:v>
                </c:pt>
                <c:pt idx="6">
                  <c:v>Ahmedabad</c:v>
                </c:pt>
                <c:pt idx="7">
                  <c:v>Kolkata</c:v>
                </c:pt>
                <c:pt idx="8">
                  <c:v>Lucknow</c:v>
                </c:pt>
                <c:pt idx="9">
                  <c:v>Jaipur</c:v>
                </c:pt>
                <c:pt idx="10">
                  <c:v>Chandigarh</c:v>
                </c:pt>
                <c:pt idx="11">
                  <c:v>Indore</c:v>
                </c:pt>
                <c:pt idx="12">
                  <c:v>Nagpur</c:v>
                </c:pt>
                <c:pt idx="13">
                  <c:v>Bhopal</c:v>
                </c:pt>
                <c:pt idx="14">
                  <c:v>Kochi</c:v>
                </c:pt>
                <c:pt idx="15">
                  <c:v>Coimbatore</c:v>
                </c:pt>
                <c:pt idx="16">
                  <c:v>Surat</c:v>
                </c:pt>
                <c:pt idx="17">
                  <c:v>Patna</c:v>
                </c:pt>
                <c:pt idx="18">
                  <c:v>Bhubaneswar</c:v>
                </c:pt>
                <c:pt idx="19">
                  <c:v>Guwahati</c:v>
                </c:pt>
              </c:strCache>
            </c:strRef>
          </c:cat>
          <c:val>
            <c:numRef>
              <c:f>Campaign_Data!$B$3:$B$22</c:f>
              <c:numCache>
                <c:formatCode>#,##0</c:formatCode>
                <c:ptCount val="20"/>
                <c:pt idx="0">
                  <c:v>10000</c:v>
                </c:pt>
                <c:pt idx="1">
                  <c:v>9000</c:v>
                </c:pt>
                <c:pt idx="2">
                  <c:v>8500</c:v>
                </c:pt>
                <c:pt idx="3">
                  <c:v>8000</c:v>
                </c:pt>
                <c:pt idx="4">
                  <c:v>7800</c:v>
                </c:pt>
                <c:pt idx="5">
                  <c:v>7500</c:v>
                </c:pt>
                <c:pt idx="6">
                  <c:v>7200</c:v>
                </c:pt>
                <c:pt idx="7">
                  <c:v>7000</c:v>
                </c:pt>
                <c:pt idx="8">
                  <c:v>6800</c:v>
                </c:pt>
                <c:pt idx="9">
                  <c:v>6500</c:v>
                </c:pt>
                <c:pt idx="10">
                  <c:v>6000</c:v>
                </c:pt>
                <c:pt idx="11">
                  <c:v>5800</c:v>
                </c:pt>
                <c:pt idx="12">
                  <c:v>5600</c:v>
                </c:pt>
                <c:pt idx="13">
                  <c:v>5400</c:v>
                </c:pt>
                <c:pt idx="14">
                  <c:v>5200</c:v>
                </c:pt>
                <c:pt idx="15">
                  <c:v>5000</c:v>
                </c:pt>
                <c:pt idx="16">
                  <c:v>4800</c:v>
                </c:pt>
                <c:pt idx="17">
                  <c:v>4600</c:v>
                </c:pt>
                <c:pt idx="18">
                  <c:v>4400</c:v>
                </c:pt>
                <c:pt idx="19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8-4D85-AFC8-4324E065E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679040"/>
        <c:axId val="32735984"/>
      </c:barChart>
      <c:catAx>
        <c:axId val="7167904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735984"/>
        <c:crosses val="autoZero"/>
        <c:auto val="1"/>
        <c:lblAlgn val="ctr"/>
        <c:lblOffset val="100"/>
        <c:noMultiLvlLbl val="0"/>
      </c:catAx>
      <c:valAx>
        <c:axId val="327359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People Reached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6790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Screened vs Diagnosed vs Treated (per City)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Campaign_Data!$C$2</c:f>
              <c:strCache>
                <c:ptCount val="1"/>
                <c:pt idx="0">
                  <c:v>People Screened</c:v>
                </c:pt>
              </c:strCache>
            </c:strRef>
          </c:tx>
          <c:spPr>
            <a:solidFill>
              <a:srgbClr val="2196F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Campaign_Data!$A$3:$A$22</c:f>
              <c:strCache>
                <c:ptCount val="20"/>
                <c:pt idx="0">
                  <c:v>Delhi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Hyderabad</c:v>
                </c:pt>
                <c:pt idx="5">
                  <c:v>Pune</c:v>
                </c:pt>
                <c:pt idx="6">
                  <c:v>Ahmedabad</c:v>
                </c:pt>
                <c:pt idx="7">
                  <c:v>Kolkata</c:v>
                </c:pt>
                <c:pt idx="8">
                  <c:v>Lucknow</c:v>
                </c:pt>
                <c:pt idx="9">
                  <c:v>Jaipur</c:v>
                </c:pt>
                <c:pt idx="10">
                  <c:v>Chandigarh</c:v>
                </c:pt>
                <c:pt idx="11">
                  <c:v>Indore</c:v>
                </c:pt>
                <c:pt idx="12">
                  <c:v>Nagpur</c:v>
                </c:pt>
                <c:pt idx="13">
                  <c:v>Bhopal</c:v>
                </c:pt>
                <c:pt idx="14">
                  <c:v>Kochi</c:v>
                </c:pt>
                <c:pt idx="15">
                  <c:v>Coimbatore</c:v>
                </c:pt>
                <c:pt idx="16">
                  <c:v>Surat</c:v>
                </c:pt>
                <c:pt idx="17">
                  <c:v>Patna</c:v>
                </c:pt>
                <c:pt idx="18">
                  <c:v>Bhubaneswar</c:v>
                </c:pt>
                <c:pt idx="19">
                  <c:v>Guwahati</c:v>
                </c:pt>
              </c:strCache>
            </c:strRef>
          </c:cat>
          <c:val>
            <c:numRef>
              <c:f>Campaign_Data!$C$3:$C$22</c:f>
              <c:numCache>
                <c:formatCode>#,##0</c:formatCode>
                <c:ptCount val="20"/>
                <c:pt idx="0">
                  <c:v>2000</c:v>
                </c:pt>
                <c:pt idx="1">
                  <c:v>1800</c:v>
                </c:pt>
                <c:pt idx="2">
                  <c:v>1600</c:v>
                </c:pt>
                <c:pt idx="3">
                  <c:v>1500</c:v>
                </c:pt>
                <c:pt idx="4">
                  <c:v>1400</c:v>
                </c:pt>
                <c:pt idx="5">
                  <c:v>1350</c:v>
                </c:pt>
                <c:pt idx="6">
                  <c:v>1300</c:v>
                </c:pt>
                <c:pt idx="7">
                  <c:v>1200</c:v>
                </c:pt>
                <c:pt idx="8">
                  <c:v>1150</c:v>
                </c:pt>
                <c:pt idx="9">
                  <c:v>1100</c:v>
                </c:pt>
                <c:pt idx="10">
                  <c:v>1000</c:v>
                </c:pt>
                <c:pt idx="11">
                  <c:v>950</c:v>
                </c:pt>
                <c:pt idx="12">
                  <c:v>900</c:v>
                </c:pt>
                <c:pt idx="13">
                  <c:v>850</c:v>
                </c:pt>
                <c:pt idx="14">
                  <c:v>820</c:v>
                </c:pt>
                <c:pt idx="15">
                  <c:v>780</c:v>
                </c:pt>
                <c:pt idx="16">
                  <c:v>740</c:v>
                </c:pt>
                <c:pt idx="17">
                  <c:v>700</c:v>
                </c:pt>
                <c:pt idx="18">
                  <c:v>660</c:v>
                </c:pt>
                <c:pt idx="19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C-44E7-82D3-7024B14C0B7C}"/>
            </c:ext>
          </c:extLst>
        </c:ser>
        <c:ser>
          <c:idx val="1"/>
          <c:order val="1"/>
          <c:tx>
            <c:strRef>
              <c:f>Campaign_Data!$D$2</c:f>
              <c:strCache>
                <c:ptCount val="1"/>
                <c:pt idx="0">
                  <c:v>Diabetes Diagnosed</c:v>
                </c:pt>
              </c:strCache>
            </c:strRef>
          </c:tx>
          <c:spPr>
            <a:solidFill>
              <a:srgbClr val="FF98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Campaign_Data!$A$3:$A$22</c:f>
              <c:strCache>
                <c:ptCount val="20"/>
                <c:pt idx="0">
                  <c:v>Delhi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Hyderabad</c:v>
                </c:pt>
                <c:pt idx="5">
                  <c:v>Pune</c:v>
                </c:pt>
                <c:pt idx="6">
                  <c:v>Ahmedabad</c:v>
                </c:pt>
                <c:pt idx="7">
                  <c:v>Kolkata</c:v>
                </c:pt>
                <c:pt idx="8">
                  <c:v>Lucknow</c:v>
                </c:pt>
                <c:pt idx="9">
                  <c:v>Jaipur</c:v>
                </c:pt>
                <c:pt idx="10">
                  <c:v>Chandigarh</c:v>
                </c:pt>
                <c:pt idx="11">
                  <c:v>Indore</c:v>
                </c:pt>
                <c:pt idx="12">
                  <c:v>Nagpur</c:v>
                </c:pt>
                <c:pt idx="13">
                  <c:v>Bhopal</c:v>
                </c:pt>
                <c:pt idx="14">
                  <c:v>Kochi</c:v>
                </c:pt>
                <c:pt idx="15">
                  <c:v>Coimbatore</c:v>
                </c:pt>
                <c:pt idx="16">
                  <c:v>Surat</c:v>
                </c:pt>
                <c:pt idx="17">
                  <c:v>Patna</c:v>
                </c:pt>
                <c:pt idx="18">
                  <c:v>Bhubaneswar</c:v>
                </c:pt>
                <c:pt idx="19">
                  <c:v>Guwahati</c:v>
                </c:pt>
              </c:strCache>
            </c:strRef>
          </c:cat>
          <c:val>
            <c:numRef>
              <c:f>Campaign_Data!$D$3:$D$22</c:f>
              <c:numCache>
                <c:formatCode>#,##0</c:formatCode>
                <c:ptCount val="20"/>
                <c:pt idx="0">
                  <c:v>350</c:v>
                </c:pt>
                <c:pt idx="1">
                  <c:v>320</c:v>
                </c:pt>
                <c:pt idx="2">
                  <c:v>300</c:v>
                </c:pt>
                <c:pt idx="3">
                  <c:v>270</c:v>
                </c:pt>
                <c:pt idx="4">
                  <c:v>250</c:v>
                </c:pt>
                <c:pt idx="5">
                  <c:v>240</c:v>
                </c:pt>
                <c:pt idx="6">
                  <c:v>230</c:v>
                </c:pt>
                <c:pt idx="7">
                  <c:v>210</c:v>
                </c:pt>
                <c:pt idx="8">
                  <c:v>200</c:v>
                </c:pt>
                <c:pt idx="9">
                  <c:v>190</c:v>
                </c:pt>
                <c:pt idx="10">
                  <c:v>170</c:v>
                </c:pt>
                <c:pt idx="11">
                  <c:v>160</c:v>
                </c:pt>
                <c:pt idx="12">
                  <c:v>150</c:v>
                </c:pt>
                <c:pt idx="13">
                  <c:v>140</c:v>
                </c:pt>
                <c:pt idx="14">
                  <c:v>135</c:v>
                </c:pt>
                <c:pt idx="15">
                  <c:v>130</c:v>
                </c:pt>
                <c:pt idx="16">
                  <c:v>120</c:v>
                </c:pt>
                <c:pt idx="17">
                  <c:v>110</c:v>
                </c:pt>
                <c:pt idx="18">
                  <c:v>100</c:v>
                </c:pt>
                <c:pt idx="1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C-44E7-82D3-7024B14C0B7C}"/>
            </c:ext>
          </c:extLst>
        </c:ser>
        <c:ser>
          <c:idx val="2"/>
          <c:order val="2"/>
          <c:tx>
            <c:strRef>
              <c:f>Campaign_Data!$E$2</c:f>
              <c:strCache>
                <c:ptCount val="1"/>
                <c:pt idx="0">
                  <c:v>Patients Treated</c:v>
                </c:pt>
              </c:strCache>
            </c:strRef>
          </c:tx>
          <c:spPr>
            <a:solidFill>
              <a:srgbClr val="4CAF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Campaign_Data!$A$3:$A$22</c:f>
              <c:strCache>
                <c:ptCount val="20"/>
                <c:pt idx="0">
                  <c:v>Delhi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Hyderabad</c:v>
                </c:pt>
                <c:pt idx="5">
                  <c:v>Pune</c:v>
                </c:pt>
                <c:pt idx="6">
                  <c:v>Ahmedabad</c:v>
                </c:pt>
                <c:pt idx="7">
                  <c:v>Kolkata</c:v>
                </c:pt>
                <c:pt idx="8">
                  <c:v>Lucknow</c:v>
                </c:pt>
                <c:pt idx="9">
                  <c:v>Jaipur</c:v>
                </c:pt>
                <c:pt idx="10">
                  <c:v>Chandigarh</c:v>
                </c:pt>
                <c:pt idx="11">
                  <c:v>Indore</c:v>
                </c:pt>
                <c:pt idx="12">
                  <c:v>Nagpur</c:v>
                </c:pt>
                <c:pt idx="13">
                  <c:v>Bhopal</c:v>
                </c:pt>
                <c:pt idx="14">
                  <c:v>Kochi</c:v>
                </c:pt>
                <c:pt idx="15">
                  <c:v>Coimbatore</c:v>
                </c:pt>
                <c:pt idx="16">
                  <c:v>Surat</c:v>
                </c:pt>
                <c:pt idx="17">
                  <c:v>Patna</c:v>
                </c:pt>
                <c:pt idx="18">
                  <c:v>Bhubaneswar</c:v>
                </c:pt>
                <c:pt idx="19">
                  <c:v>Guwahati</c:v>
                </c:pt>
              </c:strCache>
            </c:strRef>
          </c:cat>
          <c:val>
            <c:numRef>
              <c:f>Campaign_Data!$E$3:$E$22</c:f>
              <c:numCache>
                <c:formatCode>#,##0</c:formatCode>
                <c:ptCount val="20"/>
                <c:pt idx="0">
                  <c:v>220</c:v>
                </c:pt>
                <c:pt idx="1">
                  <c:v>210</c:v>
                </c:pt>
                <c:pt idx="2">
                  <c:v>190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145</c:v>
                </c:pt>
                <c:pt idx="7">
                  <c:v>130</c:v>
                </c:pt>
                <c:pt idx="8">
                  <c:v>120</c:v>
                </c:pt>
                <c:pt idx="9">
                  <c:v>115</c:v>
                </c:pt>
                <c:pt idx="10">
                  <c:v>100</c:v>
                </c:pt>
                <c:pt idx="11">
                  <c:v>95</c:v>
                </c:pt>
                <c:pt idx="12">
                  <c:v>90</c:v>
                </c:pt>
                <c:pt idx="13">
                  <c:v>85</c:v>
                </c:pt>
                <c:pt idx="14">
                  <c:v>80</c:v>
                </c:pt>
                <c:pt idx="15">
                  <c:v>78</c:v>
                </c:pt>
                <c:pt idx="16">
                  <c:v>70</c:v>
                </c:pt>
                <c:pt idx="17">
                  <c:v>65</c:v>
                </c:pt>
                <c:pt idx="18">
                  <c:v>60</c:v>
                </c:pt>
                <c:pt idx="1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DC-44E7-82D3-7024B14C0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792922"/>
        <c:axId val="16721642"/>
      </c:barChart>
      <c:catAx>
        <c:axId val="727929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21642"/>
        <c:crosses val="autoZero"/>
        <c:auto val="1"/>
        <c:lblAlgn val="ctr"/>
        <c:lblOffset val="100"/>
        <c:noMultiLvlLbl val="0"/>
      </c:catAx>
      <c:valAx>
        <c:axId val="16721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7929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Campaign Cost per City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Campaign_Data!$F$2</c:f>
              <c:strCache>
                <c:ptCount val="1"/>
                <c:pt idx="0">
                  <c:v>Campaign Cost (₹)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Campaign_Data!$A$3:$A$22</c:f>
              <c:strCache>
                <c:ptCount val="20"/>
                <c:pt idx="0">
                  <c:v>Delhi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Hyderabad</c:v>
                </c:pt>
                <c:pt idx="5">
                  <c:v>Pune</c:v>
                </c:pt>
                <c:pt idx="6">
                  <c:v>Ahmedabad</c:v>
                </c:pt>
                <c:pt idx="7">
                  <c:v>Kolkata</c:v>
                </c:pt>
                <c:pt idx="8">
                  <c:v>Lucknow</c:v>
                </c:pt>
                <c:pt idx="9">
                  <c:v>Jaipur</c:v>
                </c:pt>
                <c:pt idx="10">
                  <c:v>Chandigarh</c:v>
                </c:pt>
                <c:pt idx="11">
                  <c:v>Indore</c:v>
                </c:pt>
                <c:pt idx="12">
                  <c:v>Nagpur</c:v>
                </c:pt>
                <c:pt idx="13">
                  <c:v>Bhopal</c:v>
                </c:pt>
                <c:pt idx="14">
                  <c:v>Kochi</c:v>
                </c:pt>
                <c:pt idx="15">
                  <c:v>Coimbatore</c:v>
                </c:pt>
                <c:pt idx="16">
                  <c:v>Surat</c:v>
                </c:pt>
                <c:pt idx="17">
                  <c:v>Patna</c:v>
                </c:pt>
                <c:pt idx="18">
                  <c:v>Bhubaneswar</c:v>
                </c:pt>
                <c:pt idx="19">
                  <c:v>Guwahati</c:v>
                </c:pt>
              </c:strCache>
            </c:strRef>
          </c:cat>
          <c:val>
            <c:numRef>
              <c:f>Campaign_Data!$F$3:$F$22</c:f>
              <c:numCache>
                <c:formatCode>\₹#,##0</c:formatCode>
                <c:ptCount val="20"/>
                <c:pt idx="0">
                  <c:v>150000</c:v>
                </c:pt>
                <c:pt idx="1">
                  <c:v>140000</c:v>
                </c:pt>
                <c:pt idx="2">
                  <c:v>135000</c:v>
                </c:pt>
                <c:pt idx="3">
                  <c:v>130000</c:v>
                </c:pt>
                <c:pt idx="4">
                  <c:v>125000</c:v>
                </c:pt>
                <c:pt idx="5">
                  <c:v>120000</c:v>
                </c:pt>
                <c:pt idx="6">
                  <c:v>115000</c:v>
                </c:pt>
                <c:pt idx="7">
                  <c:v>110000</c:v>
                </c:pt>
                <c:pt idx="8">
                  <c:v>105000</c:v>
                </c:pt>
                <c:pt idx="9">
                  <c:v>100000</c:v>
                </c:pt>
                <c:pt idx="10">
                  <c:v>95000</c:v>
                </c:pt>
                <c:pt idx="11">
                  <c:v>90000</c:v>
                </c:pt>
                <c:pt idx="12">
                  <c:v>85000</c:v>
                </c:pt>
                <c:pt idx="13">
                  <c:v>80000</c:v>
                </c:pt>
                <c:pt idx="14">
                  <c:v>78000</c:v>
                </c:pt>
                <c:pt idx="15">
                  <c:v>76000</c:v>
                </c:pt>
                <c:pt idx="16">
                  <c:v>74000</c:v>
                </c:pt>
                <c:pt idx="17">
                  <c:v>72000</c:v>
                </c:pt>
                <c:pt idx="18">
                  <c:v>70000</c:v>
                </c:pt>
                <c:pt idx="19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D-4FE9-BED2-F8A999C41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084469"/>
        <c:axId val="19324405"/>
      </c:barChart>
      <c:catAx>
        <c:axId val="5608446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24405"/>
        <c:crosses val="autoZero"/>
        <c:auto val="1"/>
        <c:lblAlgn val="ctr"/>
        <c:lblOffset val="100"/>
        <c:noMultiLvlLbl val="0"/>
      </c:catAx>
      <c:valAx>
        <c:axId val="193244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Cost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0844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Healthcare Conversion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4E7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A62-4C32-A6DD-B28E43B52DB5}"/>
              </c:ext>
            </c:extLst>
          </c:dPt>
          <c:dPt>
            <c:idx val="1"/>
            <c:invertIfNegative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A62-4C32-A6DD-B28E43B52DB5}"/>
              </c:ext>
            </c:extLst>
          </c:dPt>
          <c:dPt>
            <c:idx val="2"/>
            <c:invertIfNegative val="0"/>
            <c:bubble3D val="0"/>
            <c:spPr>
              <a:solidFill>
                <a:srgbClr val="FF98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A62-4C32-A6DD-B28E43B52DB5}"/>
              </c:ext>
            </c:extLst>
          </c:dPt>
          <c:dPt>
            <c:idx val="3"/>
            <c:invertIfNegative val="0"/>
            <c:bubble3D val="0"/>
            <c:spPr>
              <a:solidFill>
                <a:srgbClr val="4CAF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FA62-4C32-A6DD-B28E43B52DB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A62-4C32-A6DD-B28E43B52DB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A62-4C32-A6DD-B28E43B52DB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A62-4C32-A6DD-B28E43B52DB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A62-4C32-A6DD-B28E43B52D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Dashboard!$R$2:$R$5</c:f>
              <c:strCache>
                <c:ptCount val="4"/>
                <c:pt idx="0">
                  <c:v>People Reached</c:v>
                </c:pt>
                <c:pt idx="1">
                  <c:v>People Screened</c:v>
                </c:pt>
                <c:pt idx="2">
                  <c:v>Diagnosed</c:v>
                </c:pt>
                <c:pt idx="3">
                  <c:v>Treated</c:v>
                </c:pt>
              </c:strCache>
            </c:strRef>
          </c:cat>
          <c:val>
            <c:numRef>
              <c:f>Dashboard!$S$2:$S$5</c:f>
              <c:numCache>
                <c:formatCode>#,##0</c:formatCode>
                <c:ptCount val="4"/>
                <c:pt idx="0">
                  <c:v>129300</c:v>
                </c:pt>
                <c:pt idx="1">
                  <c:v>22420</c:v>
                </c:pt>
                <c:pt idx="2">
                  <c:v>3865</c:v>
                </c:pt>
                <c:pt idx="3">
                  <c:v>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62-4C32-A6DD-B28E43B52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94671"/>
        <c:axId val="26660167"/>
      </c:barChart>
      <c:catAx>
        <c:axId val="192946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60167"/>
        <c:crosses val="autoZero"/>
        <c:auto val="1"/>
        <c:lblAlgn val="ctr"/>
        <c:lblOffset val="100"/>
        <c:noMultiLvlLbl val="0"/>
      </c:catAx>
      <c:valAx>
        <c:axId val="26660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People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94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vs Campaign Cost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Dashboard!$S$7</c:f>
              <c:strCache>
                <c:ptCount val="1"/>
                <c:pt idx="0">
                  <c:v>Amount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A1D-4863-AC1F-7DF34D29DAA3}"/>
              </c:ext>
            </c:extLst>
          </c:dPt>
          <c:dPt>
            <c:idx val="1"/>
            <c:invertIfNegative val="0"/>
            <c:bubble3D val="0"/>
            <c:spPr>
              <a:solidFill>
                <a:srgbClr val="2196F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A1D-4863-AC1F-7DF34D29DAA3}"/>
              </c:ext>
            </c:extLst>
          </c:dPt>
          <c:dPt>
            <c:idx val="2"/>
            <c:invertIfNegative val="0"/>
            <c:bubble3D val="0"/>
            <c:spPr>
              <a:solidFill>
                <a:srgbClr val="4CAF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A1D-4863-AC1F-7DF34D29DAA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A1D-4863-AC1F-7DF34D29DAA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A1D-4863-AC1F-7DF34D29DAA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A1D-4863-AC1F-7DF34D29D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Dashboard!$R$8:$R$10</c:f>
              <c:strCache>
                <c:ptCount val="3"/>
                <c:pt idx="0">
                  <c:v>Total Campaign Cost</c:v>
                </c:pt>
                <c:pt idx="1">
                  <c:v>Total Revenue</c:v>
                </c:pt>
                <c:pt idx="2">
                  <c:v>Profit</c:v>
                </c:pt>
              </c:strCache>
            </c:strRef>
          </c:cat>
          <c:val>
            <c:numRef>
              <c:f>Dashboard!$S$8:$S$10</c:f>
              <c:numCache>
                <c:formatCode>\₹#,##0</c:formatCode>
                <c:ptCount val="3"/>
                <c:pt idx="0">
                  <c:v>2018000</c:v>
                </c:pt>
                <c:pt idx="1">
                  <c:v>18626400</c:v>
                </c:pt>
                <c:pt idx="2">
                  <c:v>16608400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1D-4863-AC1F-7DF34D29D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739351"/>
        <c:axId val="4749837"/>
      </c:barChart>
      <c:catAx>
        <c:axId val="797393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9837"/>
        <c:crosses val="autoZero"/>
        <c:auto val="1"/>
        <c:lblAlgn val="ctr"/>
        <c:lblOffset val="100"/>
        <c:noMultiLvlLbl val="0"/>
      </c:catAx>
      <c:valAx>
        <c:axId val="4749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39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7</xdr:col>
      <xdr:colOff>1009905</xdr:colOff>
      <xdr:row>28</xdr:row>
      <xdr:rowOff>128160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</xdr:row>
      <xdr:rowOff>0</xdr:rowOff>
    </xdr:from>
    <xdr:to>
      <xdr:col>14</xdr:col>
      <xdr:colOff>368220</xdr:colOff>
      <xdr:row>28</xdr:row>
      <xdr:rowOff>128160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1009905</xdr:colOff>
      <xdr:row>50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1090215</xdr:colOff>
      <xdr:row>50</xdr:row>
      <xdr:rowOff>128520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7</xdr:col>
      <xdr:colOff>1009905</xdr:colOff>
      <xdr:row>72</xdr:row>
      <xdr:rowOff>128160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2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7109375" defaultRowHeight="15" x14ac:dyDescent="0.25"/>
  <cols>
    <col min="1" max="1" width="18" customWidth="1"/>
    <col min="2" max="3" width="16" customWidth="1"/>
    <col min="4" max="4" width="18" customWidth="1"/>
    <col min="5" max="5" width="16" customWidth="1"/>
    <col min="6" max="6" width="20" customWidth="1"/>
  </cols>
  <sheetData>
    <row r="1" spans="1:6" ht="30" customHeight="1" x14ac:dyDescent="0.25">
      <c r="A1" s="14" t="s">
        <v>0</v>
      </c>
      <c r="B1" s="14"/>
      <c r="C1" s="14"/>
      <c r="D1" s="14"/>
      <c r="E1" s="14"/>
      <c r="F1" s="14"/>
    </row>
    <row r="2" spans="1:6" ht="27.75" customHeigh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spans="1:6" ht="15" customHeight="1" x14ac:dyDescent="0.25">
      <c r="A3" s="16" t="s">
        <v>7</v>
      </c>
      <c r="B3" s="17">
        <v>10000</v>
      </c>
      <c r="C3" s="17">
        <v>2000</v>
      </c>
      <c r="D3" s="17">
        <v>350</v>
      </c>
      <c r="E3" s="17">
        <v>220</v>
      </c>
      <c r="F3" s="18">
        <v>150000</v>
      </c>
    </row>
    <row r="4" spans="1:6" ht="15" customHeight="1" x14ac:dyDescent="0.25">
      <c r="A4" s="19" t="s">
        <v>8</v>
      </c>
      <c r="B4" s="20">
        <v>9000</v>
      </c>
      <c r="C4" s="20">
        <v>1800</v>
      </c>
      <c r="D4" s="20">
        <v>320</v>
      </c>
      <c r="E4" s="20">
        <v>210</v>
      </c>
      <c r="F4" s="21">
        <v>140000</v>
      </c>
    </row>
    <row r="5" spans="1:6" ht="15" customHeight="1" x14ac:dyDescent="0.25">
      <c r="A5" s="16" t="s">
        <v>9</v>
      </c>
      <c r="B5" s="17">
        <v>8500</v>
      </c>
      <c r="C5" s="17">
        <v>1600</v>
      </c>
      <c r="D5" s="17">
        <v>300</v>
      </c>
      <c r="E5" s="17">
        <v>190</v>
      </c>
      <c r="F5" s="18">
        <v>135000</v>
      </c>
    </row>
    <row r="6" spans="1:6" ht="15" customHeight="1" x14ac:dyDescent="0.25">
      <c r="A6" s="19" t="s">
        <v>10</v>
      </c>
      <c r="B6" s="20">
        <v>8000</v>
      </c>
      <c r="C6" s="20">
        <v>1500</v>
      </c>
      <c r="D6" s="20">
        <v>270</v>
      </c>
      <c r="E6" s="20">
        <v>170</v>
      </c>
      <c r="F6" s="21">
        <v>130000</v>
      </c>
    </row>
    <row r="7" spans="1:6" ht="15" customHeight="1" x14ac:dyDescent="0.25">
      <c r="A7" s="16" t="s">
        <v>11</v>
      </c>
      <c r="B7" s="17">
        <v>7800</v>
      </c>
      <c r="C7" s="17">
        <v>1400</v>
      </c>
      <c r="D7" s="17">
        <v>250</v>
      </c>
      <c r="E7" s="17">
        <v>160</v>
      </c>
      <c r="F7" s="18">
        <v>125000</v>
      </c>
    </row>
    <row r="8" spans="1:6" ht="15" customHeight="1" x14ac:dyDescent="0.25">
      <c r="A8" s="19" t="s">
        <v>12</v>
      </c>
      <c r="B8" s="20">
        <v>7500</v>
      </c>
      <c r="C8" s="20">
        <v>1350</v>
      </c>
      <c r="D8" s="20">
        <v>240</v>
      </c>
      <c r="E8" s="20">
        <v>150</v>
      </c>
      <c r="F8" s="21">
        <v>120000</v>
      </c>
    </row>
    <row r="9" spans="1:6" ht="15" customHeight="1" x14ac:dyDescent="0.25">
      <c r="A9" s="16" t="s">
        <v>13</v>
      </c>
      <c r="B9" s="17">
        <v>7200</v>
      </c>
      <c r="C9" s="17">
        <v>1300</v>
      </c>
      <c r="D9" s="17">
        <v>230</v>
      </c>
      <c r="E9" s="17">
        <v>145</v>
      </c>
      <c r="F9" s="18">
        <v>115000</v>
      </c>
    </row>
    <row r="10" spans="1:6" ht="15" customHeight="1" x14ac:dyDescent="0.25">
      <c r="A10" s="19" t="s">
        <v>14</v>
      </c>
      <c r="B10" s="20">
        <v>7000</v>
      </c>
      <c r="C10" s="20">
        <v>1200</v>
      </c>
      <c r="D10" s="20">
        <v>210</v>
      </c>
      <c r="E10" s="20">
        <v>130</v>
      </c>
      <c r="F10" s="21">
        <v>110000</v>
      </c>
    </row>
    <row r="11" spans="1:6" ht="15" customHeight="1" x14ac:dyDescent="0.25">
      <c r="A11" s="16" t="s">
        <v>15</v>
      </c>
      <c r="B11" s="17">
        <v>6800</v>
      </c>
      <c r="C11" s="17">
        <v>1150</v>
      </c>
      <c r="D11" s="17">
        <v>200</v>
      </c>
      <c r="E11" s="17">
        <v>120</v>
      </c>
      <c r="F11" s="18">
        <v>105000</v>
      </c>
    </row>
    <row r="12" spans="1:6" ht="15" customHeight="1" x14ac:dyDescent="0.25">
      <c r="A12" s="19" t="s">
        <v>16</v>
      </c>
      <c r="B12" s="20">
        <v>6500</v>
      </c>
      <c r="C12" s="20">
        <v>1100</v>
      </c>
      <c r="D12" s="20">
        <v>190</v>
      </c>
      <c r="E12" s="20">
        <v>115</v>
      </c>
      <c r="F12" s="21">
        <v>100000</v>
      </c>
    </row>
    <row r="13" spans="1:6" ht="15" customHeight="1" x14ac:dyDescent="0.25">
      <c r="A13" s="16" t="s">
        <v>17</v>
      </c>
      <c r="B13" s="17">
        <v>6000</v>
      </c>
      <c r="C13" s="17">
        <v>1000</v>
      </c>
      <c r="D13" s="17">
        <v>170</v>
      </c>
      <c r="E13" s="17">
        <v>100</v>
      </c>
      <c r="F13" s="18">
        <v>95000</v>
      </c>
    </row>
    <row r="14" spans="1:6" ht="15" customHeight="1" x14ac:dyDescent="0.25">
      <c r="A14" s="19" t="s">
        <v>18</v>
      </c>
      <c r="B14" s="20">
        <v>5800</v>
      </c>
      <c r="C14" s="20">
        <v>950</v>
      </c>
      <c r="D14" s="20">
        <v>160</v>
      </c>
      <c r="E14" s="20">
        <v>95</v>
      </c>
      <c r="F14" s="21">
        <v>90000</v>
      </c>
    </row>
    <row r="15" spans="1:6" ht="15" customHeight="1" x14ac:dyDescent="0.25">
      <c r="A15" s="16" t="s">
        <v>19</v>
      </c>
      <c r="B15" s="17">
        <v>5600</v>
      </c>
      <c r="C15" s="17">
        <v>900</v>
      </c>
      <c r="D15" s="17">
        <v>150</v>
      </c>
      <c r="E15" s="17">
        <v>90</v>
      </c>
      <c r="F15" s="18">
        <v>85000</v>
      </c>
    </row>
    <row r="16" spans="1:6" ht="15" customHeight="1" x14ac:dyDescent="0.25">
      <c r="A16" s="19" t="s">
        <v>20</v>
      </c>
      <c r="B16" s="20">
        <v>5400</v>
      </c>
      <c r="C16" s="20">
        <v>850</v>
      </c>
      <c r="D16" s="20">
        <v>140</v>
      </c>
      <c r="E16" s="20">
        <v>85</v>
      </c>
      <c r="F16" s="21">
        <v>80000</v>
      </c>
    </row>
    <row r="17" spans="1:6" ht="15" customHeight="1" x14ac:dyDescent="0.25">
      <c r="A17" s="16" t="s">
        <v>21</v>
      </c>
      <c r="B17" s="17">
        <v>5200</v>
      </c>
      <c r="C17" s="17">
        <v>820</v>
      </c>
      <c r="D17" s="17">
        <v>135</v>
      </c>
      <c r="E17" s="17">
        <v>80</v>
      </c>
      <c r="F17" s="18">
        <v>78000</v>
      </c>
    </row>
    <row r="18" spans="1:6" ht="15" customHeight="1" x14ac:dyDescent="0.25">
      <c r="A18" s="19" t="s">
        <v>22</v>
      </c>
      <c r="B18" s="20">
        <v>5000</v>
      </c>
      <c r="C18" s="20">
        <v>780</v>
      </c>
      <c r="D18" s="20">
        <v>130</v>
      </c>
      <c r="E18" s="20">
        <v>78</v>
      </c>
      <c r="F18" s="21">
        <v>76000</v>
      </c>
    </row>
    <row r="19" spans="1:6" ht="15" customHeight="1" x14ac:dyDescent="0.25">
      <c r="A19" s="16" t="s">
        <v>23</v>
      </c>
      <c r="B19" s="17">
        <v>4800</v>
      </c>
      <c r="C19" s="17">
        <v>740</v>
      </c>
      <c r="D19" s="17">
        <v>120</v>
      </c>
      <c r="E19" s="17">
        <v>70</v>
      </c>
      <c r="F19" s="18">
        <v>74000</v>
      </c>
    </row>
    <row r="20" spans="1:6" ht="15" customHeight="1" x14ac:dyDescent="0.25">
      <c r="A20" s="19" t="s">
        <v>24</v>
      </c>
      <c r="B20" s="20">
        <v>4600</v>
      </c>
      <c r="C20" s="20">
        <v>700</v>
      </c>
      <c r="D20" s="20">
        <v>110</v>
      </c>
      <c r="E20" s="20">
        <v>65</v>
      </c>
      <c r="F20" s="21">
        <v>72000</v>
      </c>
    </row>
    <row r="21" spans="1:6" ht="15" customHeight="1" x14ac:dyDescent="0.25">
      <c r="A21" s="16" t="s">
        <v>25</v>
      </c>
      <c r="B21" s="17">
        <v>4400</v>
      </c>
      <c r="C21" s="17">
        <v>660</v>
      </c>
      <c r="D21" s="17">
        <v>100</v>
      </c>
      <c r="E21" s="17">
        <v>60</v>
      </c>
      <c r="F21" s="18">
        <v>70000</v>
      </c>
    </row>
    <row r="22" spans="1:6" ht="15" customHeight="1" x14ac:dyDescent="0.25">
      <c r="A22" s="19" t="s">
        <v>26</v>
      </c>
      <c r="B22" s="20">
        <v>4200</v>
      </c>
      <c r="C22" s="20">
        <v>620</v>
      </c>
      <c r="D22" s="20">
        <v>90</v>
      </c>
      <c r="E22" s="20">
        <v>55</v>
      </c>
      <c r="F22" s="21">
        <v>68000</v>
      </c>
    </row>
    <row r="23" spans="1:6" ht="15" customHeight="1" x14ac:dyDescent="0.25">
      <c r="A23" s="22" t="s">
        <v>27</v>
      </c>
      <c r="B23" s="23">
        <f>SUM(B3:B22)</f>
        <v>129300</v>
      </c>
      <c r="C23" s="23">
        <f>SUM(C3:C22)</f>
        <v>22420</v>
      </c>
      <c r="D23" s="23">
        <f>SUM(D3:D22)</f>
        <v>3865</v>
      </c>
      <c r="E23" s="23">
        <f>SUM(E3:E22)</f>
        <v>2388</v>
      </c>
      <c r="F23" s="24">
        <f>SUM(F3:F22)</f>
        <v>2018000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C13"/>
  <sheetViews>
    <sheetView zoomScaleNormal="100" workbookViewId="0"/>
  </sheetViews>
  <sheetFormatPr defaultColWidth="8.7109375" defaultRowHeight="15" x14ac:dyDescent="0.25"/>
  <cols>
    <col min="1" max="1" width="25" customWidth="1"/>
    <col min="2" max="2" width="38" customWidth="1"/>
    <col min="3" max="3" width="20" customWidth="1"/>
  </cols>
  <sheetData>
    <row r="1" spans="1:3" ht="30" customHeight="1" x14ac:dyDescent="0.25">
      <c r="A1" s="14" t="s">
        <v>28</v>
      </c>
      <c r="B1" s="14"/>
      <c r="C1" s="14"/>
    </row>
    <row r="2" spans="1:3" ht="15" customHeight="1" x14ac:dyDescent="0.25">
      <c r="A2" s="15" t="s">
        <v>29</v>
      </c>
      <c r="B2" s="15" t="s">
        <v>30</v>
      </c>
      <c r="C2" s="15" t="s">
        <v>31</v>
      </c>
    </row>
    <row r="3" spans="1:3" ht="15" customHeight="1" x14ac:dyDescent="0.25">
      <c r="A3" s="25" t="s">
        <v>32</v>
      </c>
      <c r="B3" s="26" t="s">
        <v>33</v>
      </c>
      <c r="C3" s="27">
        <f>SUM(Campaign_Data!B3:B22)</f>
        <v>129300</v>
      </c>
    </row>
    <row r="4" spans="1:3" ht="15" customHeight="1" x14ac:dyDescent="0.25">
      <c r="A4" s="28" t="s">
        <v>34</v>
      </c>
      <c r="B4" s="29" t="s">
        <v>35</v>
      </c>
      <c r="C4" s="30">
        <f>SUM(Campaign_Data!C3:C22)</f>
        <v>22420</v>
      </c>
    </row>
    <row r="5" spans="1:3" ht="15" customHeight="1" x14ac:dyDescent="0.25">
      <c r="A5" s="25" t="s">
        <v>36</v>
      </c>
      <c r="B5" s="26" t="s">
        <v>37</v>
      </c>
      <c r="C5" s="27">
        <f>SUM(Campaign_Data!D3:D22)</f>
        <v>3865</v>
      </c>
    </row>
    <row r="6" spans="1:3" ht="15" customHeight="1" x14ac:dyDescent="0.25">
      <c r="A6" s="28" t="s">
        <v>38</v>
      </c>
      <c r="B6" s="29" t="s">
        <v>39</v>
      </c>
      <c r="C6" s="30">
        <f>SUM(Campaign_Data!E3:E22)</f>
        <v>2388</v>
      </c>
    </row>
    <row r="7" spans="1:3" ht="15" customHeight="1" x14ac:dyDescent="0.25">
      <c r="A7" s="25" t="s">
        <v>40</v>
      </c>
      <c r="B7" s="26" t="s">
        <v>41</v>
      </c>
      <c r="C7" s="31">
        <f>SUM(Campaign_Data!F3:F22)</f>
        <v>2018000</v>
      </c>
    </row>
    <row r="9" spans="1:3" ht="15" customHeight="1" x14ac:dyDescent="0.25">
      <c r="A9" s="13" t="s">
        <v>42</v>
      </c>
      <c r="B9" s="13"/>
      <c r="C9" s="13"/>
    </row>
    <row r="10" spans="1:3" ht="15" customHeight="1" x14ac:dyDescent="0.25">
      <c r="A10" s="28" t="s">
        <v>43</v>
      </c>
      <c r="B10" s="32" t="s">
        <v>44</v>
      </c>
      <c r="C10" s="33">
        <f>C4/C3</f>
        <v>0.17339520494972932</v>
      </c>
    </row>
    <row r="11" spans="1:3" ht="15" customHeight="1" x14ac:dyDescent="0.25">
      <c r="A11" s="25" t="s">
        <v>45</v>
      </c>
      <c r="B11" s="34" t="s">
        <v>44</v>
      </c>
      <c r="C11" s="35">
        <f>C5/C4</f>
        <v>0.17239072256913471</v>
      </c>
    </row>
    <row r="12" spans="1:3" ht="15" customHeight="1" x14ac:dyDescent="0.25">
      <c r="A12" s="28" t="s">
        <v>46</v>
      </c>
      <c r="B12" s="32" t="s">
        <v>44</v>
      </c>
      <c r="C12" s="33">
        <f>C6/C5</f>
        <v>0.61785252263906854</v>
      </c>
    </row>
    <row r="13" spans="1:3" ht="15" customHeight="1" x14ac:dyDescent="0.25">
      <c r="A13" s="25" t="s">
        <v>47</v>
      </c>
      <c r="B13" s="34" t="s">
        <v>44</v>
      </c>
      <c r="C13" s="35">
        <f>C6/C3</f>
        <v>1.8468677494199535E-2</v>
      </c>
    </row>
  </sheetData>
  <mergeCells count="2">
    <mergeCell ref="A1:C1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C9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38" customWidth="1"/>
    <col min="3" max="3" width="20" customWidth="1"/>
  </cols>
  <sheetData>
    <row r="1" spans="1:3" ht="30" customHeight="1" x14ac:dyDescent="0.25">
      <c r="A1" s="12" t="s">
        <v>48</v>
      </c>
      <c r="B1" s="12"/>
      <c r="C1" s="12"/>
    </row>
    <row r="2" spans="1:3" ht="15" customHeight="1" x14ac:dyDescent="0.25">
      <c r="A2" s="36" t="s">
        <v>29</v>
      </c>
      <c r="B2" s="36" t="s">
        <v>49</v>
      </c>
      <c r="C2" s="36" t="s">
        <v>31</v>
      </c>
    </row>
    <row r="3" spans="1:3" ht="15" customHeight="1" x14ac:dyDescent="0.25">
      <c r="A3" s="37" t="s">
        <v>50</v>
      </c>
      <c r="B3" s="26" t="s">
        <v>51</v>
      </c>
      <c r="C3" s="38">
        <v>650</v>
      </c>
    </row>
    <row r="4" spans="1:3" ht="15" customHeight="1" x14ac:dyDescent="0.25">
      <c r="A4" s="39" t="s">
        <v>52</v>
      </c>
      <c r="B4" s="29" t="s">
        <v>53</v>
      </c>
      <c r="C4" s="40">
        <f>C3*12</f>
        <v>7800</v>
      </c>
    </row>
    <row r="5" spans="1:3" ht="15" customHeight="1" x14ac:dyDescent="0.25">
      <c r="A5" s="37" t="s">
        <v>38</v>
      </c>
      <c r="B5" s="26" t="s">
        <v>54</v>
      </c>
      <c r="C5" s="27">
        <f>Campaign_Summary!C6</f>
        <v>2388</v>
      </c>
    </row>
    <row r="6" spans="1:3" ht="15" customHeight="1" x14ac:dyDescent="0.25">
      <c r="A6" s="39" t="s">
        <v>55</v>
      </c>
      <c r="B6" s="29" t="s">
        <v>56</v>
      </c>
      <c r="C6" s="40">
        <f>C4*C5</f>
        <v>18626400</v>
      </c>
    </row>
    <row r="7" spans="1:3" ht="15" customHeight="1" x14ac:dyDescent="0.25">
      <c r="A7" s="37" t="s">
        <v>57</v>
      </c>
      <c r="B7" s="26" t="s">
        <v>58</v>
      </c>
      <c r="C7" s="41">
        <f>C6/10000000</f>
        <v>1.8626400000000001</v>
      </c>
    </row>
    <row r="9" spans="1:3" ht="15" customHeight="1" x14ac:dyDescent="0.25">
      <c r="A9" s="11" t="s">
        <v>59</v>
      </c>
      <c r="B9" s="11"/>
      <c r="C9" s="11"/>
    </row>
  </sheetData>
  <mergeCells count="2">
    <mergeCell ref="A1:C1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C11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38" customWidth="1"/>
    <col min="3" max="3" width="20" customWidth="1"/>
  </cols>
  <sheetData>
    <row r="1" spans="1:3" ht="30" customHeight="1" x14ac:dyDescent="0.25">
      <c r="A1" s="10" t="s">
        <v>60</v>
      </c>
      <c r="B1" s="10"/>
      <c r="C1" s="10"/>
    </row>
    <row r="2" spans="1:3" ht="15" customHeight="1" x14ac:dyDescent="0.25">
      <c r="A2" s="42" t="s">
        <v>29</v>
      </c>
      <c r="B2" s="42" t="s">
        <v>61</v>
      </c>
      <c r="C2" s="42" t="s">
        <v>31</v>
      </c>
    </row>
    <row r="3" spans="1:3" ht="15" customHeight="1" x14ac:dyDescent="0.25">
      <c r="A3" s="43" t="s">
        <v>40</v>
      </c>
      <c r="B3" s="26" t="s">
        <v>54</v>
      </c>
      <c r="C3" s="31">
        <f>Campaign_Summary!C7</f>
        <v>2018000</v>
      </c>
    </row>
    <row r="4" spans="1:3" ht="15" customHeight="1" x14ac:dyDescent="0.25">
      <c r="A4" s="44" t="s">
        <v>62</v>
      </c>
      <c r="B4" s="29" t="s">
        <v>63</v>
      </c>
      <c r="C4" s="45">
        <f>Revenue_Model!C6</f>
        <v>18626400</v>
      </c>
    </row>
    <row r="5" spans="1:3" ht="15" customHeight="1" x14ac:dyDescent="0.25">
      <c r="A5" s="43" t="s">
        <v>64</v>
      </c>
      <c r="B5" s="26" t="s">
        <v>65</v>
      </c>
      <c r="C5" s="46">
        <f>C4-C3</f>
        <v>16608400</v>
      </c>
    </row>
    <row r="6" spans="1:3" ht="15" customHeight="1" x14ac:dyDescent="0.25">
      <c r="A6" s="44" t="s">
        <v>66</v>
      </c>
      <c r="B6" s="29" t="s">
        <v>67</v>
      </c>
      <c r="C6" s="47">
        <f>IF(C3=0,0,(C5/C3))</f>
        <v>8.2301288404360751</v>
      </c>
    </row>
    <row r="7" spans="1:3" ht="15" customHeight="1" x14ac:dyDescent="0.25">
      <c r="A7" s="43" t="s">
        <v>68</v>
      </c>
      <c r="B7" s="26" t="s">
        <v>69</v>
      </c>
      <c r="C7" s="48">
        <f>IF(C3=0,0,C4/C3)</f>
        <v>9.2301288404360751</v>
      </c>
    </row>
    <row r="8" spans="1:3" ht="15" customHeight="1" x14ac:dyDescent="0.25">
      <c r="A8" s="44" t="s">
        <v>70</v>
      </c>
      <c r="B8" s="29" t="s">
        <v>71</v>
      </c>
      <c r="C8" s="49">
        <f>IF(Revenue_Model!C4=0,0,C3/Revenue_Model!C4)</f>
        <v>258.71794871794873</v>
      </c>
    </row>
    <row r="10" spans="1:3" ht="15" customHeight="1" x14ac:dyDescent="0.25">
      <c r="A10" s="50" t="s">
        <v>72</v>
      </c>
    </row>
    <row r="11" spans="1:3" ht="15" customHeight="1" x14ac:dyDescent="0.25">
      <c r="A11" s="9" t="str">
        <f>IF(C6&gt;1,"✅ Campaign is profitable — Revenue exceeds Cost","⚠️ Campaign cost exceeds revenue — Review strategy")</f>
        <v>✅ Campaign is profitable — Revenue exceeds Cost</v>
      </c>
      <c r="B11" s="9"/>
      <c r="C11" s="9"/>
    </row>
  </sheetData>
  <mergeCells count="2">
    <mergeCell ref="A1:C1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S26"/>
  <sheetViews>
    <sheetView showGridLines="0" tabSelected="1" topLeftCell="A46" zoomScale="90" zoomScaleNormal="90" workbookViewId="0">
      <selection activeCell="K3" sqref="K3:L5"/>
    </sheetView>
  </sheetViews>
  <sheetFormatPr defaultColWidth="8.7109375" defaultRowHeight="15" x14ac:dyDescent="0.25"/>
  <cols>
    <col min="1" max="7" width="11" customWidth="1"/>
    <col min="8" max="8" width="16.28515625" customWidth="1"/>
    <col min="9" max="9" width="17.140625" customWidth="1"/>
    <col min="10" max="10" width="19.42578125" customWidth="1"/>
    <col min="11" max="11" width="11" customWidth="1"/>
    <col min="12" max="12" width="17.28515625" customWidth="1"/>
    <col min="13" max="13" width="11" customWidth="1"/>
    <col min="14" max="14" width="21" customWidth="1"/>
    <col min="16" max="16" width="8.7109375" customWidth="1"/>
    <col min="18" max="18" width="20" customWidth="1"/>
    <col min="19" max="19" width="12.28515625" customWidth="1"/>
  </cols>
  <sheetData>
    <row r="1" spans="1:19" ht="39.75" customHeight="1" x14ac:dyDescent="0.25">
      <c r="A1" s="8" t="s">
        <v>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R1" s="51" t="s">
        <v>74</v>
      </c>
      <c r="S1" s="51" t="s">
        <v>75</v>
      </c>
    </row>
    <row r="2" spans="1:19" ht="15" customHeight="1" x14ac:dyDescent="0.25">
      <c r="A2" s="7" t="s">
        <v>76</v>
      </c>
      <c r="B2" s="7"/>
      <c r="C2" s="6" t="s">
        <v>77</v>
      </c>
      <c r="D2" s="6"/>
      <c r="E2" s="5" t="s">
        <v>78</v>
      </c>
      <c r="F2" s="5"/>
      <c r="G2" s="4" t="s">
        <v>79</v>
      </c>
      <c r="H2" s="4"/>
      <c r="I2" s="3" t="s">
        <v>80</v>
      </c>
      <c r="J2" s="3"/>
      <c r="K2" s="2" t="s">
        <v>81</v>
      </c>
      <c r="L2" s="2"/>
      <c r="M2" s="1" t="s">
        <v>66</v>
      </c>
      <c r="N2" s="1"/>
      <c r="R2" t="s">
        <v>2</v>
      </c>
      <c r="S2" s="52">
        <f>Campaign_Summary!C3</f>
        <v>129300</v>
      </c>
    </row>
    <row r="3" spans="1:19" ht="15" customHeight="1" x14ac:dyDescent="0.25">
      <c r="A3" s="54">
        <f>Campaign_Summary!C3</f>
        <v>129300</v>
      </c>
      <c r="B3" s="54"/>
      <c r="C3" s="55">
        <f>Campaign_Summary!C4</f>
        <v>22420</v>
      </c>
      <c r="D3" s="55"/>
      <c r="E3" s="56">
        <f>Campaign_Summary!C5</f>
        <v>3865</v>
      </c>
      <c r="F3" s="56"/>
      <c r="G3" s="57">
        <f>Campaign_Summary!C6</f>
        <v>2388</v>
      </c>
      <c r="H3" s="57"/>
      <c r="I3" s="58">
        <f>Campaign_Summary!C7</f>
        <v>2018000</v>
      </c>
      <c r="J3" s="58"/>
      <c r="K3" s="59">
        <f>Revenue_Model!C6</f>
        <v>18626400</v>
      </c>
      <c r="L3" s="59"/>
      <c r="M3" s="60">
        <f>ROI_Model!C6</f>
        <v>8.2301288404360751</v>
      </c>
      <c r="N3" s="60"/>
      <c r="R3" t="s">
        <v>3</v>
      </c>
      <c r="S3" s="52">
        <f>Campaign_Summary!C4</f>
        <v>22420</v>
      </c>
    </row>
    <row r="4" spans="1:19" ht="15" customHeight="1" x14ac:dyDescent="0.25">
      <c r="A4" s="54"/>
      <c r="B4" s="54"/>
      <c r="C4" s="55"/>
      <c r="D4" s="55"/>
      <c r="E4" s="56"/>
      <c r="F4" s="56"/>
      <c r="G4" s="57"/>
      <c r="H4" s="57"/>
      <c r="I4" s="58"/>
      <c r="J4" s="58"/>
      <c r="K4" s="59"/>
      <c r="L4" s="59"/>
      <c r="M4" s="60"/>
      <c r="N4" s="60"/>
      <c r="R4" t="s">
        <v>78</v>
      </c>
      <c r="S4" s="52">
        <f>Campaign_Summary!C5</f>
        <v>3865</v>
      </c>
    </row>
    <row r="5" spans="1:19" ht="15" customHeight="1" x14ac:dyDescent="0.25">
      <c r="A5" s="54"/>
      <c r="B5" s="54"/>
      <c r="C5" s="55"/>
      <c r="D5" s="55"/>
      <c r="E5" s="56"/>
      <c r="F5" s="56"/>
      <c r="G5" s="57"/>
      <c r="H5" s="57"/>
      <c r="I5" s="58"/>
      <c r="J5" s="58"/>
      <c r="K5" s="59"/>
      <c r="L5" s="59"/>
      <c r="M5" s="60"/>
      <c r="N5" s="60"/>
      <c r="R5" t="s">
        <v>79</v>
      </c>
      <c r="S5" s="52">
        <f>Campaign_Summary!C6</f>
        <v>2388</v>
      </c>
    </row>
    <row r="7" spans="1:19" ht="15" customHeight="1" x14ac:dyDescent="0.25">
      <c r="R7" s="51" t="s">
        <v>29</v>
      </c>
      <c r="S7" s="51" t="s">
        <v>82</v>
      </c>
    </row>
    <row r="8" spans="1:19" ht="15" customHeight="1" x14ac:dyDescent="0.25">
      <c r="R8" t="s">
        <v>40</v>
      </c>
      <c r="S8" s="53">
        <f>Campaign_Summary!C7</f>
        <v>2018000</v>
      </c>
    </row>
    <row r="9" spans="1:19" ht="15" customHeight="1" x14ac:dyDescent="0.25">
      <c r="R9" t="s">
        <v>81</v>
      </c>
      <c r="S9" s="53">
        <f>Revenue_Model!C6</f>
        <v>18626400</v>
      </c>
    </row>
    <row r="10" spans="1:19" ht="15" customHeight="1" x14ac:dyDescent="0.25">
      <c r="R10" t="s">
        <v>83</v>
      </c>
      <c r="S10" s="53">
        <f>ROI_Model!C5</f>
        <v>16608400</v>
      </c>
    </row>
    <row r="17" spans="16:17" x14ac:dyDescent="0.25">
      <c r="P17" s="51"/>
      <c r="Q17" s="51"/>
    </row>
    <row r="18" spans="16:17" x14ac:dyDescent="0.25">
      <c r="Q18" s="52"/>
    </row>
    <row r="19" spans="16:17" x14ac:dyDescent="0.25">
      <c r="Q19" s="52"/>
    </row>
    <row r="20" spans="16:17" x14ac:dyDescent="0.25">
      <c r="Q20" s="52"/>
    </row>
    <row r="21" spans="16:17" x14ac:dyDescent="0.25">
      <c r="Q21" s="52"/>
    </row>
    <row r="23" spans="16:17" x14ac:dyDescent="0.25">
      <c r="P23" s="51"/>
      <c r="Q23" s="51"/>
    </row>
    <row r="24" spans="16:17" x14ac:dyDescent="0.25">
      <c r="Q24" s="53"/>
    </row>
    <row r="25" spans="16:17" x14ac:dyDescent="0.25">
      <c r="Q25" s="53"/>
    </row>
    <row r="26" spans="16:17" x14ac:dyDescent="0.25">
      <c r="Q26" s="53"/>
    </row>
  </sheetData>
  <mergeCells count="15">
    <mergeCell ref="K3:L5"/>
    <mergeCell ref="M3:N5"/>
    <mergeCell ref="A3:B5"/>
    <mergeCell ref="C3:D5"/>
    <mergeCell ref="E3:F5"/>
    <mergeCell ref="G3:H5"/>
    <mergeCell ref="I3:J5"/>
    <mergeCell ref="A1:P1"/>
    <mergeCell ref="A2:B2"/>
    <mergeCell ref="C2:D2"/>
    <mergeCell ref="E2:F2"/>
    <mergeCell ref="G2:H2"/>
    <mergeCell ref="I2:J2"/>
    <mergeCell ref="K2:L2"/>
    <mergeCell ref="M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Campaign_Data</vt:lpstr>
      <vt:lpstr>Campaign_Summary</vt:lpstr>
      <vt:lpstr>Revenue_Model</vt:lpstr>
      <vt:lpstr>ROI_Model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Devesh kumar PGD202565745</cp:lastModifiedBy>
  <cp:revision>2</cp:revision>
  <dcterms:created xsi:type="dcterms:W3CDTF">2026-03-10T07:59:03Z</dcterms:created>
  <dcterms:modified xsi:type="dcterms:W3CDTF">2026-03-10T08:55:57Z</dcterms:modified>
  <dc:language>en-US</dc:language>
</cp:coreProperties>
</file>